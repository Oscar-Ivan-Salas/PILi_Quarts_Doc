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color rgb="000052A3"/>
      <sz val="14"/>
    </font>
    <font>
      <name val="Calibri"/>
      <color rgb="006B7280"/>
      <sz val="9"/>
    </font>
    <font>
      <name val="Calibri"/>
      <color rgb="004B5563"/>
      <sz val="9"/>
    </font>
    <font>
      <name val="Calibri"/>
      <b val="1"/>
      <color rgb="000052A3"/>
      <sz val="20"/>
    </font>
    <font>
      <name val="Calibri"/>
      <b val="1"/>
      <color rgb="001E40AF"/>
      <sz val="14"/>
    </font>
    <font>
      <name val="Calibri"/>
      <b val="1"/>
      <color rgb="000052A3"/>
      <sz val="11"/>
    </font>
    <font>
      <name val="Calibri"/>
      <color rgb="00374151"/>
      <sz val="10"/>
    </font>
    <font>
      <name val="Calibri"/>
      <b val="1"/>
      <color rgb="00FFFFFF"/>
      <sz val="10"/>
    </font>
    <font>
      <name val="Calibri"/>
      <b val="1"/>
      <color rgb="00374151"/>
      <sz val="10"/>
    </font>
    <font>
      <name val="Calibri"/>
      <b val="1"/>
      <color rgb="001E40AF"/>
      <sz val="11"/>
    </font>
    <font>
      <name val="Calibri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BEAFE"/>
      </left>
      <right style="thin">
        <color rgb="00DBEAFE"/>
      </right>
      <top style="thin">
        <color rgb="00DBEAFE"/>
      </top>
      <bottom style="thin">
        <color rgb="00DBEAF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left"/>
    </xf>
    <xf numFmtId="0" fontId="8" fillId="4" borderId="0" pivotButton="0" quotePrefix="0" xfId="0"/>
    <xf numFmtId="0" fontId="2" fillId="0" borderId="0" applyAlignment="1" pivotButton="0" quotePrefix="0" xfId="0">
      <alignment horizontal="left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/>
    </xf>
    <xf numFmtId="0" fontId="8" fillId="5" borderId="2" pivotButton="0" quotePrefix="0" xfId="0"/>
    <xf numFmtId="4" fontId="10" fillId="5" borderId="2" applyAlignment="1" pivotButton="0" quotePrefix="0" xfId="0">
      <alignment horizontal="right"/>
    </xf>
    <xf numFmtId="164" fontId="10" fillId="5" borderId="2" applyAlignment="1" pivotButton="0" quotePrefix="0" xfId="0">
      <alignment horizontal="right"/>
    </xf>
    <xf numFmtId="0" fontId="8" fillId="4" borderId="2" applyAlignment="1" pivotButton="0" quotePrefix="0" xfId="0">
      <alignment horizontal="center"/>
    </xf>
    <xf numFmtId="0" fontId="8" fillId="4" borderId="2" pivotButton="0" quotePrefix="0" xfId="0"/>
    <xf numFmtId="4" fontId="10" fillId="4" borderId="2" applyAlignment="1" pivotButton="0" quotePrefix="0" xfId="0">
      <alignment horizontal="right"/>
    </xf>
    <xf numFmtId="164" fontId="10" fillId="4" borderId="2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12" fillId="2" borderId="0" applyAlignment="1" pivotButton="0" quotePrefix="0" xfId="0">
      <alignment horizontal="right" vertical="center"/>
    </xf>
    <xf numFmtId="164" fontId="12" fillId="2" borderId="0" applyAlignment="1" pivotButton="0" quotePrefix="0" xfId="0">
      <alignment horizontal="right" vertical="center"/>
    </xf>
    <xf numFmtId="0" fontId="7" fillId="4" borderId="0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 ht="40" customHeight="1">
      <c r="A1" s="1" t="inlineStr">
        <is>
          <t>TESLA</t>
        </is>
      </c>
      <c r="C1" s="2" t="inlineStr">
        <is>
          <t>TESLA ELECTRICIDAD Y AUTOMATIZACIÓN S.A.C.</t>
        </is>
      </c>
    </row>
    <row r="2">
      <c r="A2" s="3" t="inlineStr">
        <is>
          <t>Electricidad y Automatización</t>
        </is>
      </c>
      <c r="C2" s="4" t="inlineStr">
        <is>
          <t>RUC: 20601138787</t>
        </is>
      </c>
    </row>
    <row r="3">
      <c r="C3" s="4" t="inlineStr">
        <is>
          <t>Jr. Las Ágatas Mz B Lote 09, Urb. San Carlos, SJL</t>
        </is>
      </c>
    </row>
    <row r="4">
      <c r="C4" s="4" t="inlineStr">
        <is>
          <t>Teléfono: 906 315 961</t>
        </is>
      </c>
    </row>
    <row r="5">
      <c r="C5" s="4" t="inlineStr">
        <is>
          <t>Email: ingenieria.teslaelectricidad@gmail.com</t>
        </is>
      </c>
    </row>
    <row r="7" ht="30" customHeight="1">
      <c r="A7" s="5" t="inlineStr">
        <is>
          <t>COTIZACIÓN DE SERVICIOS</t>
        </is>
      </c>
    </row>
    <row r="8">
      <c r="A8" s="6" t="inlineStr">
        <is>
          <t>N° COT-2026-001</t>
        </is>
      </c>
    </row>
    <row r="10">
      <c r="A10" s="7" t="inlineStr">
        <is>
          <t>DATOS DEL CLIENTE</t>
        </is>
      </c>
      <c r="D10" s="7" t="inlineStr">
        <is>
          <t>DATOS DE LA COTIZACIÓN</t>
        </is>
      </c>
    </row>
    <row r="11">
      <c r="A11" s="8" t="inlineStr">
        <is>
          <t>Cliente: Empresa Demo SAC</t>
        </is>
      </c>
      <c r="D11" s="8" t="inlineStr">
        <is>
          <t>Fecha: 13/02/2026</t>
        </is>
      </c>
    </row>
    <row r="12">
      <c r="A12" s="8" t="inlineStr">
        <is>
          <t>Proyecto: Instalación Eléctrica Industrial</t>
        </is>
      </c>
      <c r="D12" s="8" t="inlineStr">
        <is>
          <t>Vigencia: 30 días</t>
        </is>
      </c>
    </row>
    <row r="13">
      <c r="A13" s="8" t="inlineStr">
        <is>
          <t>Área: 500 m²</t>
        </is>
      </c>
      <c r="D13" s="8" t="inlineStr">
        <is>
          <t>Servicio: Instalaciones Eléctricas</t>
        </is>
      </c>
    </row>
    <row r="15">
      <c r="A15" s="9" t="inlineStr">
        <is>
          <t>Detalle de la Cotización</t>
        </is>
      </c>
    </row>
    <row r="16" ht="20" customHeight="1">
      <c r="A16" s="10" t="inlineStr">
        <is>
          <t>ITEM</t>
        </is>
      </c>
      <c r="B16" s="11" t="inlineStr">
        <is>
          <t>DESCRIPCIÓN</t>
        </is>
      </c>
      <c r="C16" s="12" t="inlineStr">
        <is>
          <t>CANT.</t>
        </is>
      </c>
      <c r="D16" s="10" t="inlineStr">
        <is>
          <t>UNIDAD</t>
        </is>
      </c>
      <c r="E16" s="12" t="inlineStr">
        <is>
          <t>P. UNIT.</t>
        </is>
      </c>
      <c r="F16" s="12" t="inlineStr">
        <is>
          <t>TOTAL</t>
        </is>
      </c>
    </row>
    <row r="17">
      <c r="A17" s="13" t="inlineStr">
        <is>
          <t>01</t>
        </is>
      </c>
      <c r="B17" s="14" t="inlineStr">
        <is>
          <t>Cableado eléctrico</t>
        </is>
      </c>
      <c r="C17" s="15" t="n">
        <v>100</v>
      </c>
      <c r="D17" s="13" t="inlineStr">
        <is>
          <t>m</t>
        </is>
      </c>
      <c r="E17" s="16" t="n">
        <v>15.5</v>
      </c>
      <c r="F17" s="16">
        <f>C17*E17</f>
        <v/>
      </c>
    </row>
    <row r="18">
      <c r="A18" s="17" t="inlineStr">
        <is>
          <t>02</t>
        </is>
      </c>
      <c r="B18" s="18" t="inlineStr">
        <is>
          <t>Tomacorrientes dobles</t>
        </is>
      </c>
      <c r="C18" s="19" t="n">
        <v>20</v>
      </c>
      <c r="D18" s="17" t="inlineStr">
        <is>
          <t>und</t>
        </is>
      </c>
      <c r="E18" s="20" t="n">
        <v>25</v>
      </c>
      <c r="F18" s="20">
        <f>C18*E18</f>
        <v/>
      </c>
    </row>
    <row r="19">
      <c r="A19" s="13" t="inlineStr">
        <is>
          <t>03</t>
        </is>
      </c>
      <c r="B19" s="14" t="inlineStr">
        <is>
          <t>Interruptores</t>
        </is>
      </c>
      <c r="C19" s="15" t="n">
        <v>15</v>
      </c>
      <c r="D19" s="13" t="inlineStr">
        <is>
          <t>und</t>
        </is>
      </c>
      <c r="E19" s="16" t="n">
        <v>18.5</v>
      </c>
      <c r="F19" s="16">
        <f>C19*E19</f>
        <v/>
      </c>
    </row>
    <row r="21">
      <c r="E21" s="21" t="inlineStr">
        <is>
          <t>SUBTOTAL:</t>
        </is>
      </c>
      <c r="F21" s="22">
        <f>SUM(F17:F19)</f>
        <v/>
      </c>
    </row>
    <row r="22">
      <c r="E22" s="21" t="inlineStr">
        <is>
          <t>IGV (18%):</t>
        </is>
      </c>
      <c r="F22" s="22">
        <f>F21*0.18</f>
        <v/>
      </c>
    </row>
    <row r="23" ht="25" customHeight="1">
      <c r="E23" s="23" t="inlineStr">
        <is>
          <t>TOTAL:</t>
        </is>
      </c>
      <c r="F23" s="24">
        <f>F21+F22</f>
        <v/>
      </c>
    </row>
    <row r="25">
      <c r="A25" s="25" t="inlineStr">
        <is>
          <t>OBSERVACIONES TÉCNICAS</t>
        </is>
      </c>
    </row>
    <row r="26">
      <c r="A26" s="8" t="inlineStr">
        <is>
          <t>✓ Trabajos ejecutados según CNE - Código Nacional de Electricidad</t>
        </is>
      </c>
    </row>
    <row r="27">
      <c r="A27" s="8" t="inlineStr">
        <is>
          <t>✓ Materiales de primera calidad con certificación</t>
        </is>
      </c>
    </row>
    <row r="28">
      <c r="A28" s="8" t="inlineStr">
        <is>
          <t>✓ Mano de obra especializada</t>
        </is>
      </c>
    </row>
    <row r="29">
      <c r="A29" s="8" t="inlineStr">
        <is>
          <t>✓ Garantía de 12 meses en mano de obra</t>
        </is>
      </c>
    </row>
    <row r="30">
      <c r="A30" s="8" t="inlineStr">
        <is>
          <t>✓ Precios en dólares americanos (USD)</t>
        </is>
      </c>
    </row>
    <row r="31">
      <c r="A31" s="8" t="inlineStr">
        <is>
          <t>✓ Forma de pago: 50% adelanto, 50% contra entrega</t>
        </is>
      </c>
    </row>
    <row r="32">
      <c r="A32" s="8" t="inlineStr">
        <is>
          <t>✓ Cotización válida por 30 días</t>
        </is>
      </c>
    </row>
    <row r="34">
      <c r="A34" s="26" t="inlineStr">
        <is>
          <t>TESLA ELECTRICIDAD Y AUTOMATIZACIÓN S.A.C.</t>
        </is>
      </c>
    </row>
    <row r="35">
      <c r="A35" s="3" t="inlineStr">
        <is>
          <t>RUC: 20601138787 | Teléfono: 906 315 961</t>
        </is>
      </c>
    </row>
    <row r="36">
      <c r="A36" s="3" t="inlineStr">
        <is>
          <t>Email: ingenieria.teslaelectricidad@gmail.com</t>
        </is>
      </c>
    </row>
    <row r="37">
      <c r="A37" s="3" t="inlineStr">
        <is>
          <t>Jr. Las Ágatas Mz B Lote 09, Urb. San Carlos, SJL</t>
        </is>
      </c>
    </row>
  </sheetData>
  <mergeCells count="30">
    <mergeCell ref="D11:F11"/>
    <mergeCell ref="D13:F13"/>
    <mergeCell ref="A37:F37"/>
    <mergeCell ref="A27:F27"/>
    <mergeCell ref="A1:B1"/>
    <mergeCell ref="A12:C12"/>
    <mergeCell ref="A26:F26"/>
    <mergeCell ref="C3:F3"/>
    <mergeCell ref="A32:F32"/>
    <mergeCell ref="A8:F8"/>
    <mergeCell ref="D12:F12"/>
    <mergeCell ref="A35:F35"/>
    <mergeCell ref="C5:F5"/>
    <mergeCell ref="A29:F29"/>
    <mergeCell ref="A10:C10"/>
    <mergeCell ref="A2:B2"/>
    <mergeCell ref="A13:C13"/>
    <mergeCell ref="A28:F28"/>
    <mergeCell ref="C4:F4"/>
    <mergeCell ref="A31:F31"/>
    <mergeCell ref="C1:F1"/>
    <mergeCell ref="A34:F34"/>
    <mergeCell ref="A30:F30"/>
    <mergeCell ref="A15:F15"/>
    <mergeCell ref="D10:F10"/>
    <mergeCell ref="A11:C11"/>
    <mergeCell ref="A36:F36"/>
    <mergeCell ref="C2:F2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2026-02-13T13:55:33Z</dcterms:created>
  <dcterms:modified xmlns:dcterms="http://purl.org/dc/terms/" xmlns:xsi="http://www.w3.org/2001/XMLSchema-instance" xsi:type="dcterms:W3CDTF">2026-02-13T13:55:33Z</dcterms:modified>
</cp:coreProperties>
</file>